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vap\Downloads\"/>
    </mc:Choice>
  </mc:AlternateContent>
  <xr:revisionPtr revIDLastSave="0" documentId="13_ncr:1_{0D94C8EB-01FD-41D4-8962-E3EEEDDFEF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R3" i="3" l="1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2" i="3"/>
  <c r="I8" i="3"/>
  <c r="I7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" i="3"/>
  <c r="L2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<sst xmlns="http://schemas.openxmlformats.org/spreadsheetml/2006/main" count="497" uniqueCount="304">
  <si>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</si>
  <si>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</si>
  <si>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</si>
  <si>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</si>
  <si>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</si>
  <si>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</si>
  <si>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</si>
  <si>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</si>
  <si>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</si>
  <si>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</si>
  <si>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</si>
  <si>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</si>
  <si>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</si>
  <si>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</si>
  <si>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</si>
  <si>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</si>
  <si>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</si>
  <si>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</si>
  <si>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</si>
  <si>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</si>
  <si>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</si>
  <si>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</si>
  <si>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</si>
  <si>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</si>
  <si>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</si>
  <si>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</si>
  <si>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</si>
  <si>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</si>
  <si>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</si>
  <si>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</si>
  <si>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</si>
  <si>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</si>
  <si>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</si>
  <si>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</si>
  <si>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</si>
  <si>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</si>
  <si>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</si>
  <si>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</si>
  <si>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</si>
  <si>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</si>
  <si>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</si>
  <si>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</si>
  <si>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</si>
  <si>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</si>
  <si>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</si>
  <si>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</si>
  <si>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</si>
  <si>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</si>
  <si>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</si>
  <si>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</si>
  <si>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</si>
  <si>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</si>
  <si>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</si>
  <si>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</si>
  <si>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</si>
  <si>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</si>
  <si>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</si>
  <si>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</si>
  <si>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</si>
  <si>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</si>
  <si>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</si>
  <si>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</si>
  <si>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</si>
  <si>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</si>
  <si>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</si>
  <si>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</si>
  <si>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</si>
  <si>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</si>
  <si>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</si>
  <si>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</si>
  <si>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</si>
  <si>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</si>
  <si>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</si>
  <si>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</si>
  <si>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</si>
  <si>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</si>
  <si>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</si>
  <si>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</si>
  <si>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</si>
  <si>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</si>
  <si>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</si>
  <si>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</si>
  <si>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</si>
  <si>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</si>
  <si>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</si>
  <si>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</si>
  <si>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</si>
  <si>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</si>
  <si>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</si>
  <si>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</si>
  <si>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</si>
  <si>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</si>
  <si>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</si>
  <si>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</si>
  <si>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</si>
  <si>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</si>
  <si>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</si>
  <si>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</si>
  <si>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</si>
  <si>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</si>
  <si>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</si>
  <si>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</si>
  <si>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</si>
  <si>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</si>
  <si>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</si>
  <si>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</si>
  <si>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</si>
  <si>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</si>
  <si>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</si>
  <si>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</si>
  <si>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</t>
  </si>
  <si>
    <t>Formula</t>
  </si>
  <si>
    <t>Answer</t>
  </si>
  <si>
    <t>Total Price of all products</t>
  </si>
  <si>
    <t>Number of products in the dataset</t>
  </si>
  <si>
    <t>Average price of the products</t>
  </si>
  <si>
    <t>Minimum price</t>
  </si>
  <si>
    <t>Maximum price</t>
  </si>
  <si>
    <t>=SUM(D2:D35)</t>
  </si>
  <si>
    <t>=COUNTA(A2:A35)</t>
  </si>
  <si>
    <t>=AVERAGE(D2:D35)</t>
  </si>
  <si>
    <t>=MIN(D2:D35)</t>
  </si>
  <si>
    <t>=MAX(D2:D35)</t>
  </si>
  <si>
    <t>Price Range</t>
  </si>
  <si>
    <t>Product 1</t>
  </si>
  <si>
    <t>=IF(D2&gt;=500,"High Price","Standard Price"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</si>
  <si>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</si>
  <si>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</si>
  <si>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</si>
  <si>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</si>
  <si>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</si>
  <si>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</si>
  <si>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</si>
  <si>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</si>
  <si>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</si>
  <si>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</si>
  <si>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</si>
  <si>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</si>
  <si>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</si>
  <si>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</si>
  <si>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</si>
  <si>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</si>
  <si>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</si>
  <si>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</si>
  <si>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</si>
  <si>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</si>
  <si>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</si>
  <si>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</si>
  <si>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</si>
  <si>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</si>
  <si>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</si>
  <si>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</si>
  <si>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</si>
  <si>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</si>
  <si>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</si>
  <si>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</si>
  <si>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</si>
  <si>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</si>
  <si>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</si>
  <si>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=IF(D3&gt;=500,"High Price","Standard Price"</t>
  </si>
  <si>
    <t>=IF(D4&gt;=500,"High Price","Standard Price"</t>
  </si>
  <si>
    <t>=IF(D5&gt;=500,"High Price","Standard Price"</t>
  </si>
  <si>
    <t>=IF(D6&gt;=500,"High Price","Standard Price"</t>
  </si>
  <si>
    <t>=IF(D7&gt;=500,"High Price","Standard Price"</t>
  </si>
  <si>
    <t>=IF(D8&gt;=500,"High Price","Standard Price"</t>
  </si>
  <si>
    <t>=IF(D9&gt;=500,"High Price","Standard Price"</t>
  </si>
  <si>
    <t>=IF(D10&gt;=500,"High Price","Standard Price"</t>
  </si>
  <si>
    <t>=IF(D11&gt;=500,"High Price","Standard Price"</t>
  </si>
  <si>
    <t>=IF(D12&gt;=500,"High Price","Standard Price"</t>
  </si>
  <si>
    <t>=IF(D13&gt;=500,"High Price","Standard Price"</t>
  </si>
  <si>
    <t>=IF(D14&gt;=500,"High Price","Standard Price"</t>
  </si>
  <si>
    <t>=IF(D15&gt;=500,"High Price","Standard Price"</t>
  </si>
  <si>
    <t>=IF(D16&gt;=500,"High Price","Standard Price"</t>
  </si>
  <si>
    <t>=IF(D17&gt;=500,"High Price","Standard Price"</t>
  </si>
  <si>
    <t>=IF(D18&gt;=500,"High Price","Standard Price"</t>
  </si>
  <si>
    <t>=IF(D19&gt;=500,"High Price","Standard Price"</t>
  </si>
  <si>
    <t>=IF(D20&gt;=500,"High Price","Standard Price"</t>
  </si>
  <si>
    <t>=IF(D21&gt;=500,"High Price","Standard Price"</t>
  </si>
  <si>
    <t>=IF(D22&gt;=500,"High Price","Standard Price"</t>
  </si>
  <si>
    <t>=IF(D23&gt;=500,"High Price","Standard Price"</t>
  </si>
  <si>
    <t>=IF(D24&gt;=500,"High Price","Standard Price"</t>
  </si>
  <si>
    <t>=IF(D25&gt;=500,"High Price","Standard Price"</t>
  </si>
  <si>
    <t>=IF(D26&gt;=500,"High Price","Standard Price"</t>
  </si>
  <si>
    <t>=IF(D27&gt;=500,"High Price","Standard Price"</t>
  </si>
  <si>
    <t>=IF(D28&gt;=500,"High Price","Standard Price"</t>
  </si>
  <si>
    <t>=IF(D29&gt;=500,"High Price","Standard Price"</t>
  </si>
  <si>
    <t>=IF(D30&gt;=500,"High Price","Standard Price"</t>
  </si>
  <si>
    <t>=IF(D31&gt;=500,"High Price","Standard Price"</t>
  </si>
  <si>
    <t>=IF(D32&gt;=500,"High Price","Standard Price"</t>
  </si>
  <si>
    <t>=IF(D33&gt;=500,"High Price","Standard Price"</t>
  </si>
  <si>
    <t>=IF(D34&gt;=500,"High Price","Standard Price"</t>
  </si>
  <si>
    <t>=IF(D35&gt;=500,"High Price","Standard Price"</t>
  </si>
  <si>
    <t>Total Price of Electronics</t>
  </si>
  <si>
    <t>=SUMIF(F2:F35,"Electronics",D2:D35</t>
  </si>
  <si>
    <t>Number of products below $100</t>
  </si>
  <si>
    <t>=COUNTIF(D2:D35,"&lt;100")</t>
  </si>
  <si>
    <t>Day</t>
  </si>
  <si>
    <t>Country Code</t>
  </si>
  <si>
    <t>Month</t>
  </si>
  <si>
    <t>Formula of Day</t>
  </si>
  <si>
    <t>=LEFT(A2,2)</t>
  </si>
  <si>
    <t>=LEFT(A3,2)</t>
  </si>
  <si>
    <t>=LEFT(A4,2)</t>
  </si>
  <si>
    <t>=LEFT(A5,2)</t>
  </si>
  <si>
    <t>=LEFT(A6,2)</t>
  </si>
  <si>
    <t>=LEFT(A7,2)</t>
  </si>
  <si>
    <t>=LEFT(A8,2)</t>
  </si>
  <si>
    <t>=LEFT(A9,2)</t>
  </si>
  <si>
    <t>=LEFT(A10,2)</t>
  </si>
  <si>
    <t>=LEFT(A11,2)</t>
  </si>
  <si>
    <t>=LEFT(A12,2)</t>
  </si>
  <si>
    <t>=LEFT(A13,2)</t>
  </si>
  <si>
    <t>=LEFT(A14,2)</t>
  </si>
  <si>
    <t>=LEFT(A15,2)</t>
  </si>
  <si>
    <t>=LEFT(A16,2)</t>
  </si>
  <si>
    <t>=LEFT(A17,2)</t>
  </si>
  <si>
    <t>=LEFT(A18,2)</t>
  </si>
  <si>
    <t>=LEFT(A19,2)</t>
  </si>
  <si>
    <t>=LEFT(A20,2)</t>
  </si>
  <si>
    <t>=LEFT(A21,2)</t>
  </si>
  <si>
    <t>=LEFT(A22,2)</t>
  </si>
  <si>
    <t>=LEFT(A23,2)</t>
  </si>
  <si>
    <t>=LEFT(A24,2)</t>
  </si>
  <si>
    <t>=LEFT(A25,2)</t>
  </si>
  <si>
    <t>=LEFT(A26,2)</t>
  </si>
  <si>
    <t>=LEFT(A27,2)</t>
  </si>
  <si>
    <t>=LEFT(A28,2)</t>
  </si>
  <si>
    <t>=LEFT(A29,2)</t>
  </si>
  <si>
    <t>=LEFT(A30,2)</t>
  </si>
  <si>
    <t>=LEFT(A31,2)</t>
  </si>
  <si>
    <t>=LEFT(A32,2)</t>
  </si>
  <si>
    <t>=LEFT(A33,2)</t>
  </si>
  <si>
    <t>=LEFT(A34,2)</t>
  </si>
  <si>
    <t>=LEFT(A35,2)</t>
  </si>
  <si>
    <t>Formula of Country Code</t>
  </si>
  <si>
    <t>=RIGHT(A2,2)</t>
  </si>
  <si>
    <t>=RIGHT(A3,2)</t>
  </si>
  <si>
    <t>=RIGHT(A4,2)</t>
  </si>
  <si>
    <t>=RIGHT(A5,2)</t>
  </si>
  <si>
    <t>=RIGHT(A6,2)</t>
  </si>
  <si>
    <t>=RIGHT(A7,2)</t>
  </si>
  <si>
    <t>=RIGHT(A8,2)</t>
  </si>
  <si>
    <t>=RIGHT(A9,2)</t>
  </si>
  <si>
    <t>=RIGHT(A10,2)</t>
  </si>
  <si>
    <t>=RIGHT(A11,2)</t>
  </si>
  <si>
    <t>=RIGHT(A12,2)</t>
  </si>
  <si>
    <t>=RIGHT(A13,2)</t>
  </si>
  <si>
    <t>=RIGHT(A14,2)</t>
  </si>
  <si>
    <t>=RIGHT(A15,2)</t>
  </si>
  <si>
    <t>=RIGHT(A16,2)</t>
  </si>
  <si>
    <t>=RIGHT(A18,2)</t>
  </si>
  <si>
    <t>=RIGHT(A17,2)</t>
  </si>
  <si>
    <t>=RIGHT(A19,2)</t>
  </si>
  <si>
    <t>=RIGHT(A20,2)</t>
  </si>
  <si>
    <t>=RIGHT(A21,2)</t>
  </si>
  <si>
    <t>=RIGHT(A22,2)</t>
  </si>
  <si>
    <t>=RIGHT(A23,2)</t>
  </si>
  <si>
    <t>=RIGHT(A24,2)</t>
  </si>
  <si>
    <t>=RIGHT(A25,2)</t>
  </si>
  <si>
    <t>=RIGHT(A26,2)</t>
  </si>
  <si>
    <t>=RIGHT(A28,2)</t>
  </si>
  <si>
    <t>=RIGHT(A27,2)</t>
  </si>
  <si>
    <t>=RIGHT(A29,2)</t>
  </si>
  <si>
    <t>=RIGHT(A30,2)</t>
  </si>
  <si>
    <t>=RIGHT(A31,2)</t>
  </si>
  <si>
    <t>=RIGHT(A32,2)</t>
  </si>
  <si>
    <t>=RIGHT(A33,2)</t>
  </si>
  <si>
    <t>=RIGHT(A34,2)</t>
  </si>
  <si>
    <t>=RIGHT(A35,2)</t>
  </si>
  <si>
    <t>Formula of Month</t>
  </si>
  <si>
    <t>=MID(A2,4,3)</t>
  </si>
  <si>
    <t>=MID(A9,4,3)</t>
  </si>
  <si>
    <t>=MID(A14,4,3)</t>
  </si>
  <si>
    <t>=MID(A17,4,3)</t>
  </si>
  <si>
    <t>=MID(A24,4,3)</t>
  </si>
  <si>
    <t>=MID(A25,4,3)</t>
  </si>
  <si>
    <t>=MID(A30,4,3)</t>
  </si>
  <si>
    <t>=MID(A3,4,3)</t>
  </si>
  <si>
    <t>=MID(A4,4,3)</t>
  </si>
  <si>
    <t>=MID(A5,4,3)</t>
  </si>
  <si>
    <t>=MID(A6,4,3)</t>
  </si>
  <si>
    <t>=MID(A7,4,3)</t>
  </si>
  <si>
    <t>=MID(A8,4,3)</t>
  </si>
  <si>
    <t>=MID(A10,4,3)</t>
  </si>
  <si>
    <t>=MID(A11,4,3)</t>
  </si>
  <si>
    <t>=MID(A12,4,3)</t>
  </si>
  <si>
    <t>=MID(A13,4,3)</t>
  </si>
  <si>
    <t>=MID(A15,4,3)</t>
  </si>
  <si>
    <t>=MID(A16,4,3)</t>
  </si>
  <si>
    <t>=MID(A18,4,3)</t>
  </si>
  <si>
    <t>=MID(A19,4,3)</t>
  </si>
  <si>
    <t>=MID(A20,4,3)</t>
  </si>
  <si>
    <t>=MID(A21,4,3)</t>
  </si>
  <si>
    <t>=MID(A22,4,3)</t>
  </si>
  <si>
    <t>=MID(A23,4,3)</t>
  </si>
  <si>
    <t>=MID(A26,4,3)</t>
  </si>
  <si>
    <t>=MID(A27,4,3)</t>
  </si>
  <si>
    <t>=MID(A28,4,3)</t>
  </si>
  <si>
    <t>=MID(A29,4,3)</t>
  </si>
  <si>
    <t>=MID(A31,4,3)</t>
  </si>
  <si>
    <t>=MID(A32,4,3)</t>
  </si>
  <si>
    <t>=MID(A33,4,3)</t>
  </si>
  <si>
    <t>=MID(A34,4,3)</t>
  </si>
  <si>
    <t>=MID(A35,4,3)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</si>
</sst>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 quotePrefix="1"/>
    <xf numFmtId="0" fontId="6" fillId="0" borderId="0" xfId="0" quotePrefix="1" applyFont="1"/>
    <xf numFmtId="0" fontId="6" fillId="3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abSelected="1" workbookViewId="0"/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1" sqref="G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7611-E111-4AAD-83C0-4A2E2F1EEFA4}">
  <dimension ref="A1:R35"/>
  <sheetViews>
    <sheetView topLeftCell="L1" workbookViewId="0">
      <selection activeCell="R35" sqref="R35"/>
    </sheetView>
  </sheetViews>
  <sheetFormatPr defaultRowHeight="13.2" x14ac:dyDescent="0.25"/>
  <cols>
    <col min="1" max="1" width="12.88671875" customWidth="1"/>
    <col min="2" max="2" width="14.33203125" customWidth="1"/>
    <col min="3" max="4" width="15.33203125" customWidth="1"/>
    <col min="5" max="5" width="11" customWidth="1"/>
    <col min="6" max="6" width="11.21875" customWidth="1"/>
    <col min="7" max="7" width="30.33203125" customWidth="1"/>
    <col min="8" max="8" width="32.44140625" customWidth="1"/>
    <col min="10" max="10" width="10.6640625" customWidth="1"/>
    <col min="11" max="11" width="35.88671875" customWidth="1"/>
    <col min="12" max="12" width="15.44140625" customWidth="1"/>
    <col min="13" max="13" width="13.33203125" customWidth="1"/>
    <col min="15" max="15" width="26.5546875" customWidth="1"/>
    <col min="16" max="16" width="13.33203125" customWidth="1"/>
    <col min="17" max="17" width="18" customWidth="1"/>
  </cols>
  <sheetData>
    <row r="1" spans="1:1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110</v>
      </c>
      <c r="H1" s="5" t="s">
        <v>111</v>
      </c>
      <c r="I1" s="5" t="s">
        <v>112</v>
      </c>
      <c r="J1" s="5" t="s">
        <v>123</v>
      </c>
      <c r="K1" s="5" t="s">
        <v>111</v>
      </c>
      <c r="L1" s="5" t="s">
        <v>112</v>
      </c>
      <c r="M1" s="5" t="s">
        <v>199</v>
      </c>
      <c r="N1" s="5" t="s">
        <v>196</v>
      </c>
      <c r="O1" s="5" t="s">
        <v>234</v>
      </c>
      <c r="P1" s="5" t="s">
        <v>197</v>
      </c>
      <c r="Q1" s="5" t="s">
        <v>269</v>
      </c>
      <c r="R1" s="5" t="s">
        <v>198</v>
      </c>
    </row>
    <row r="2" spans="1:18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">
        <v>113</v>
      </c>
      <c r="H2" s="10" t="s">
        <v>118</v>
      </c>
      <c r="I2">
        <f>SUM(D2:D35)</f>
        <v>10100</v>
      </c>
      <c r="J2" s="7" t="s">
        <v>124</v>
      </c>
      <c r="K2" s="11" t="s">
        <v>125</v>
      </c>
      <c r="L2" t="str">
        <f>IF(D2&gt;=500,"High Price","Standard Price")</f>
        <v>High Price</v>
      </c>
      <c r="M2" s="10" t="s">
        <v>200</v>
      </c>
      <c r="N2" t="str">
        <f>LEFT(A2,2)</f>
        <v>28</v>
      </c>
      <c r="O2" s="10" t="s">
        <v>235</v>
      </c>
      <c r="P2" t="str">
        <f>RIGHT(A2,2)</f>
        <v>US</v>
      </c>
      <c r="Q2" s="10" t="s">
        <v>270</v>
      </c>
      <c r="R2" t="str">
        <f>MID(A2,4,3)</f>
        <v>JAN</v>
      </c>
    </row>
    <row r="3" spans="1:18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8" t="s">
        <v>114</v>
      </c>
      <c r="H3" s="10" t="s">
        <v>119</v>
      </c>
      <c r="I3">
        <f>COUNTA(A2:A35)</f>
        <v>34</v>
      </c>
      <c r="J3" s="7" t="s">
        <v>126</v>
      </c>
      <c r="K3" s="11" t="s">
        <v>159</v>
      </c>
      <c r="L3" t="str">
        <f t="shared" ref="L3:L35" si="0">IF(D3&gt;=500,"High Price","Standard Price")</f>
        <v>Standard Price</v>
      </c>
      <c r="M3" s="10" t="s">
        <v>201</v>
      </c>
      <c r="N3" t="str">
        <f t="shared" ref="N3:N35" si="1">LEFT(A3,2)</f>
        <v>15</v>
      </c>
      <c r="O3" s="10" t="s">
        <v>236</v>
      </c>
      <c r="P3" t="str">
        <f t="shared" ref="P3:P35" si="2">RIGHT(A3,2)</f>
        <v>US</v>
      </c>
      <c r="Q3" s="10" t="s">
        <v>277</v>
      </c>
      <c r="R3" t="str">
        <f t="shared" ref="R3:R35" si="3">MID(A3,4,3)</f>
        <v>FEB</v>
      </c>
    </row>
    <row r="4" spans="1:18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">
        <v>115</v>
      </c>
      <c r="H4" s="10" t="s">
        <v>120</v>
      </c>
      <c r="I4">
        <f>AVERAGE(D2:D35)</f>
        <v>297.05882352941177</v>
      </c>
      <c r="J4" s="7" t="s">
        <v>127</v>
      </c>
      <c r="K4" s="11" t="s">
        <v>160</v>
      </c>
      <c r="L4" t="str">
        <f t="shared" si="0"/>
        <v>Standard Price</v>
      </c>
      <c r="M4" s="10" t="s">
        <v>202</v>
      </c>
      <c r="N4" t="str">
        <f t="shared" si="1"/>
        <v>03</v>
      </c>
      <c r="O4" s="10" t="s">
        <v>237</v>
      </c>
      <c r="P4" t="str">
        <f t="shared" si="2"/>
        <v>US</v>
      </c>
      <c r="Q4" s="10" t="s">
        <v>278</v>
      </c>
      <c r="R4" t="str">
        <f t="shared" si="3"/>
        <v>MAR</v>
      </c>
    </row>
    <row r="5" spans="1:18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8" t="s">
        <v>116</v>
      </c>
      <c r="H5" s="10" t="s">
        <v>121</v>
      </c>
      <c r="I5">
        <f>MIN(D2:D35)</f>
        <v>30</v>
      </c>
      <c r="J5" s="7" t="s">
        <v>128</v>
      </c>
      <c r="K5" s="11" t="s">
        <v>161</v>
      </c>
      <c r="L5" t="str">
        <f t="shared" si="0"/>
        <v>High Price</v>
      </c>
      <c r="M5" s="10" t="s">
        <v>203</v>
      </c>
      <c r="N5" t="str">
        <f t="shared" si="1"/>
        <v>11</v>
      </c>
      <c r="O5" s="10" t="s">
        <v>238</v>
      </c>
      <c r="P5" t="str">
        <f t="shared" si="2"/>
        <v>US</v>
      </c>
      <c r="Q5" s="10" t="s">
        <v>279</v>
      </c>
      <c r="R5" t="str">
        <f t="shared" si="3"/>
        <v>APR</v>
      </c>
    </row>
    <row r="6" spans="1:18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">
        <v>117</v>
      </c>
      <c r="H6" s="10" t="s">
        <v>122</v>
      </c>
      <c r="I6">
        <f>MAX(D2:D35)</f>
        <v>1000</v>
      </c>
      <c r="J6" s="7" t="s">
        <v>129</v>
      </c>
      <c r="K6" s="11" t="s">
        <v>162</v>
      </c>
      <c r="L6" t="str">
        <f t="shared" si="0"/>
        <v>Standard Price</v>
      </c>
      <c r="M6" s="10" t="s">
        <v>204</v>
      </c>
      <c r="N6" t="str">
        <f t="shared" si="1"/>
        <v>22</v>
      </c>
      <c r="O6" s="10" t="s">
        <v>239</v>
      </c>
      <c r="P6" t="str">
        <f t="shared" si="2"/>
        <v>US</v>
      </c>
      <c r="Q6" s="10" t="s">
        <v>280</v>
      </c>
      <c r="R6" t="str">
        <f t="shared" si="3"/>
        <v>MAY</v>
      </c>
    </row>
    <row r="7" spans="1:18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8" t="s">
        <v>192</v>
      </c>
      <c r="H7" s="12" t="s">
        <v>193</v>
      </c>
      <c r="I7">
        <f>SUMIF(F2:F35,"Electronics",D2:D35)</f>
        <v>8050</v>
      </c>
      <c r="J7" s="7" t="s">
        <v>130</v>
      </c>
      <c r="K7" s="11" t="s">
        <v>163</v>
      </c>
      <c r="L7" t="str">
        <f t="shared" si="0"/>
        <v>Standard Price</v>
      </c>
      <c r="M7" s="10" t="s">
        <v>205</v>
      </c>
      <c r="N7" t="str">
        <f t="shared" si="1"/>
        <v>07</v>
      </c>
      <c r="O7" s="10" t="s">
        <v>240</v>
      </c>
      <c r="P7" t="str">
        <f t="shared" si="2"/>
        <v>UK</v>
      </c>
      <c r="Q7" s="10" t="s">
        <v>281</v>
      </c>
      <c r="R7" t="str">
        <f t="shared" si="3"/>
        <v>JUN</v>
      </c>
    </row>
    <row r="8" spans="1:18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">
        <v>194</v>
      </c>
      <c r="H8" s="11" t="s">
        <v>195</v>
      </c>
      <c r="I8">
        <f>COUNTIF(D2:D35,"&lt;100")</f>
        <v>11</v>
      </c>
      <c r="J8" s="7" t="s">
        <v>131</v>
      </c>
      <c r="K8" s="11" t="s">
        <v>164</v>
      </c>
      <c r="L8" t="str">
        <f t="shared" si="0"/>
        <v>Standard Price</v>
      </c>
      <c r="M8" s="10" t="s">
        <v>206</v>
      </c>
      <c r="N8" t="str">
        <f t="shared" si="1"/>
        <v>19</v>
      </c>
      <c r="O8" s="10" t="s">
        <v>241</v>
      </c>
      <c r="P8" t="str">
        <f t="shared" si="2"/>
        <v>UK</v>
      </c>
      <c r="Q8" s="10" t="s">
        <v>282</v>
      </c>
      <c r="R8" t="str">
        <f t="shared" si="3"/>
        <v>JUL</v>
      </c>
    </row>
    <row r="9" spans="1:18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J9" s="7" t="s">
        <v>132</v>
      </c>
      <c r="K9" s="11" t="s">
        <v>165</v>
      </c>
      <c r="L9" t="str">
        <f t="shared" si="0"/>
        <v>Standard Price</v>
      </c>
      <c r="M9" s="10" t="s">
        <v>207</v>
      </c>
      <c r="N9" t="str">
        <f t="shared" si="1"/>
        <v>23</v>
      </c>
      <c r="O9" s="10" t="s">
        <v>242</v>
      </c>
      <c r="P9" t="str">
        <f t="shared" si="2"/>
        <v>UK</v>
      </c>
      <c r="Q9" s="10" t="s">
        <v>271</v>
      </c>
      <c r="R9" t="str">
        <f t="shared" si="3"/>
        <v>AUG</v>
      </c>
    </row>
    <row r="10" spans="1:18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J10" s="7" t="s">
        <v>133</v>
      </c>
      <c r="K10" s="11" t="s">
        <v>166</v>
      </c>
      <c r="L10" t="str">
        <f t="shared" si="0"/>
        <v>High Price</v>
      </c>
      <c r="M10" s="10" t="s">
        <v>208</v>
      </c>
      <c r="N10" t="str">
        <f t="shared" si="1"/>
        <v>05</v>
      </c>
      <c r="O10" s="10" t="s">
        <v>243</v>
      </c>
      <c r="P10" t="str">
        <f t="shared" si="2"/>
        <v>UK</v>
      </c>
      <c r="Q10" s="10" t="s">
        <v>283</v>
      </c>
      <c r="R10" t="str">
        <f t="shared" si="3"/>
        <v>SEP</v>
      </c>
    </row>
    <row r="11" spans="1:18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J11" s="7" t="s">
        <v>134</v>
      </c>
      <c r="K11" s="11" t="s">
        <v>167</v>
      </c>
      <c r="L11" t="str">
        <f t="shared" si="0"/>
        <v>Standard Price</v>
      </c>
      <c r="M11" s="10" t="s">
        <v>209</v>
      </c>
      <c r="N11" t="str">
        <f t="shared" si="1"/>
        <v>14</v>
      </c>
      <c r="O11" s="10" t="s">
        <v>244</v>
      </c>
      <c r="P11" t="str">
        <f t="shared" si="2"/>
        <v>UK</v>
      </c>
      <c r="Q11" s="10" t="s">
        <v>284</v>
      </c>
      <c r="R11" t="str">
        <f t="shared" si="3"/>
        <v>OCT</v>
      </c>
    </row>
    <row r="12" spans="1:18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J12" s="7" t="s">
        <v>135</v>
      </c>
      <c r="K12" s="11" t="s">
        <v>168</v>
      </c>
      <c r="L12" t="str">
        <f t="shared" si="0"/>
        <v>High Price</v>
      </c>
      <c r="M12" s="10" t="s">
        <v>210</v>
      </c>
      <c r="N12" t="str">
        <f t="shared" si="1"/>
        <v>17</v>
      </c>
      <c r="O12" s="10" t="s">
        <v>245</v>
      </c>
      <c r="P12" t="str">
        <f t="shared" si="2"/>
        <v>IN</v>
      </c>
      <c r="Q12" s="10" t="s">
        <v>285</v>
      </c>
      <c r="R12" t="str">
        <f t="shared" si="3"/>
        <v>JUN</v>
      </c>
    </row>
    <row r="13" spans="1:18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J13" s="7" t="s">
        <v>136</v>
      </c>
      <c r="K13" s="11" t="s">
        <v>169</v>
      </c>
      <c r="L13" t="str">
        <f t="shared" si="0"/>
        <v>Standard Price</v>
      </c>
      <c r="M13" s="10" t="s">
        <v>211</v>
      </c>
      <c r="N13" t="str">
        <f t="shared" si="1"/>
        <v>25</v>
      </c>
      <c r="O13" s="10" t="s">
        <v>246</v>
      </c>
      <c r="P13" t="str">
        <f t="shared" si="2"/>
        <v>AU</v>
      </c>
      <c r="Q13" s="10" t="s">
        <v>286</v>
      </c>
      <c r="R13" t="str">
        <f t="shared" si="3"/>
        <v>NOV</v>
      </c>
    </row>
    <row r="14" spans="1:18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J14" s="7" t="s">
        <v>137</v>
      </c>
      <c r="K14" s="11" t="s">
        <v>170</v>
      </c>
      <c r="L14" t="str">
        <f t="shared" si="0"/>
        <v>Standard Price</v>
      </c>
      <c r="M14" s="10" t="s">
        <v>212</v>
      </c>
      <c r="N14" t="str">
        <f t="shared" si="1"/>
        <v>08</v>
      </c>
      <c r="O14" s="10" t="s">
        <v>247</v>
      </c>
      <c r="P14" t="str">
        <f t="shared" si="2"/>
        <v>DE</v>
      </c>
      <c r="Q14" s="10" t="s">
        <v>272</v>
      </c>
      <c r="R14" t="str">
        <f t="shared" si="3"/>
        <v>DEC</v>
      </c>
    </row>
    <row r="15" spans="1:18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J15" s="7" t="s">
        <v>138</v>
      </c>
      <c r="K15" s="11" t="s">
        <v>171</v>
      </c>
      <c r="L15" t="str">
        <f t="shared" si="0"/>
        <v>Standard Price</v>
      </c>
      <c r="M15" s="10" t="s">
        <v>213</v>
      </c>
      <c r="N15" t="str">
        <f t="shared" si="1"/>
        <v>18</v>
      </c>
      <c r="O15" s="10" t="s">
        <v>248</v>
      </c>
      <c r="P15" t="str">
        <f t="shared" si="2"/>
        <v>CA</v>
      </c>
      <c r="Q15" s="10" t="s">
        <v>287</v>
      </c>
      <c r="R15" t="str">
        <f t="shared" si="3"/>
        <v>FEB</v>
      </c>
    </row>
    <row r="16" spans="1:18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J16" s="7" t="s">
        <v>139</v>
      </c>
      <c r="K16" s="11" t="s">
        <v>172</v>
      </c>
      <c r="L16" t="str">
        <f t="shared" si="0"/>
        <v>Standard Price</v>
      </c>
      <c r="M16" s="10" t="s">
        <v>214</v>
      </c>
      <c r="N16" t="str">
        <f t="shared" si="1"/>
        <v>16</v>
      </c>
      <c r="O16" s="10" t="s">
        <v>249</v>
      </c>
      <c r="P16" t="str">
        <f t="shared" si="2"/>
        <v>ES</v>
      </c>
      <c r="Q16" s="10" t="s">
        <v>288</v>
      </c>
      <c r="R16" t="str">
        <f t="shared" si="3"/>
        <v>APR</v>
      </c>
    </row>
    <row r="17" spans="1:18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J17" s="7" t="s">
        <v>140</v>
      </c>
      <c r="K17" s="11" t="s">
        <v>173</v>
      </c>
      <c r="L17" t="str">
        <f t="shared" si="0"/>
        <v>Standard Price</v>
      </c>
      <c r="M17" s="10" t="s">
        <v>215</v>
      </c>
      <c r="N17" t="str">
        <f t="shared" si="1"/>
        <v>21</v>
      </c>
      <c r="O17" s="10" t="s">
        <v>251</v>
      </c>
      <c r="P17" t="str">
        <f t="shared" si="2"/>
        <v>CA</v>
      </c>
      <c r="Q17" s="10" t="s">
        <v>273</v>
      </c>
      <c r="R17" t="str">
        <f t="shared" si="3"/>
        <v>AUG</v>
      </c>
    </row>
    <row r="18" spans="1:18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J18" s="7" t="s">
        <v>141</v>
      </c>
      <c r="K18" s="11" t="s">
        <v>174</v>
      </c>
      <c r="L18" t="str">
        <f t="shared" si="0"/>
        <v>Standard Price</v>
      </c>
      <c r="M18" s="10" t="s">
        <v>216</v>
      </c>
      <c r="N18" t="str">
        <f t="shared" si="1"/>
        <v>20</v>
      </c>
      <c r="O18" s="10" t="s">
        <v>250</v>
      </c>
      <c r="P18" t="str">
        <f t="shared" si="2"/>
        <v>CN</v>
      </c>
      <c r="Q18" s="10" t="s">
        <v>289</v>
      </c>
      <c r="R18" t="str">
        <f t="shared" si="3"/>
        <v>AUG</v>
      </c>
    </row>
    <row r="19" spans="1:18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J19" s="7" t="s">
        <v>142</v>
      </c>
      <c r="K19" s="11" t="s">
        <v>175</v>
      </c>
      <c r="L19" t="str">
        <f t="shared" si="0"/>
        <v>High Price</v>
      </c>
      <c r="M19" s="10" t="s">
        <v>217</v>
      </c>
      <c r="N19" t="str">
        <f t="shared" si="1"/>
        <v>27</v>
      </c>
      <c r="O19" s="10" t="s">
        <v>252</v>
      </c>
      <c r="P19" t="str">
        <f t="shared" si="2"/>
        <v>IT</v>
      </c>
      <c r="Q19" s="10" t="s">
        <v>290</v>
      </c>
      <c r="R19" t="str">
        <f t="shared" si="3"/>
        <v>JAN</v>
      </c>
    </row>
    <row r="20" spans="1:18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J20" s="7" t="s">
        <v>143</v>
      </c>
      <c r="K20" s="11" t="s">
        <v>176</v>
      </c>
      <c r="L20" t="str">
        <f t="shared" si="0"/>
        <v>Standard Price</v>
      </c>
      <c r="M20" s="10" t="s">
        <v>218</v>
      </c>
      <c r="N20" t="str">
        <f t="shared" si="1"/>
        <v>01</v>
      </c>
      <c r="O20" s="10" t="s">
        <v>253</v>
      </c>
      <c r="P20" t="str">
        <f t="shared" si="2"/>
        <v>UK</v>
      </c>
      <c r="Q20" s="10" t="s">
        <v>291</v>
      </c>
      <c r="R20" t="str">
        <f t="shared" si="3"/>
        <v>MAR</v>
      </c>
    </row>
    <row r="21" spans="1:18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J21" s="7" t="s">
        <v>144</v>
      </c>
      <c r="K21" s="11" t="s">
        <v>177</v>
      </c>
      <c r="L21" t="str">
        <f t="shared" si="0"/>
        <v>Standard Price</v>
      </c>
      <c r="M21" s="10" t="s">
        <v>219</v>
      </c>
      <c r="N21" t="str">
        <f t="shared" si="1"/>
        <v>14</v>
      </c>
      <c r="O21" s="10" t="s">
        <v>254</v>
      </c>
      <c r="P21" t="str">
        <f t="shared" si="2"/>
        <v>US</v>
      </c>
      <c r="Q21" s="10" t="s">
        <v>292</v>
      </c>
      <c r="R21" t="str">
        <f t="shared" si="3"/>
        <v>AUG</v>
      </c>
    </row>
    <row r="22" spans="1:18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J22" s="7" t="s">
        <v>145</v>
      </c>
      <c r="K22" s="11" t="s">
        <v>178</v>
      </c>
      <c r="L22" t="str">
        <f t="shared" si="0"/>
        <v>High Price</v>
      </c>
      <c r="M22" s="10" t="s">
        <v>220</v>
      </c>
      <c r="N22" t="str">
        <f t="shared" si="1"/>
        <v>14</v>
      </c>
      <c r="O22" s="10" t="s">
        <v>255</v>
      </c>
      <c r="P22" t="str">
        <f t="shared" si="2"/>
        <v>RU</v>
      </c>
      <c r="Q22" s="10" t="s">
        <v>293</v>
      </c>
      <c r="R22" t="str">
        <f t="shared" si="3"/>
        <v>MAY</v>
      </c>
    </row>
    <row r="23" spans="1:18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J23" s="7" t="s">
        <v>146</v>
      </c>
      <c r="K23" s="11" t="s">
        <v>179</v>
      </c>
      <c r="L23" t="str">
        <f t="shared" si="0"/>
        <v>Standard Price</v>
      </c>
      <c r="M23" s="10" t="s">
        <v>221</v>
      </c>
      <c r="N23" t="str">
        <f t="shared" si="1"/>
        <v>09</v>
      </c>
      <c r="O23" s="10" t="s">
        <v>256</v>
      </c>
      <c r="P23" t="str">
        <f t="shared" si="2"/>
        <v>CA</v>
      </c>
      <c r="Q23" s="10" t="s">
        <v>294</v>
      </c>
      <c r="R23" t="str">
        <f t="shared" si="3"/>
        <v>JAN</v>
      </c>
    </row>
    <row r="24" spans="1:18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J24" s="7" t="s">
        <v>147</v>
      </c>
      <c r="K24" s="11" t="s">
        <v>180</v>
      </c>
      <c r="L24" t="str">
        <f t="shared" si="0"/>
        <v>Standard Price</v>
      </c>
      <c r="M24" s="10" t="s">
        <v>222</v>
      </c>
      <c r="N24" t="str">
        <f t="shared" si="1"/>
        <v>19</v>
      </c>
      <c r="O24" s="10" t="s">
        <v>257</v>
      </c>
      <c r="P24" t="str">
        <f t="shared" si="2"/>
        <v>BR</v>
      </c>
      <c r="Q24" s="10" t="s">
        <v>274</v>
      </c>
      <c r="R24" t="str">
        <f t="shared" si="3"/>
        <v>JUL</v>
      </c>
    </row>
    <row r="25" spans="1:18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J25" s="7" t="s">
        <v>148</v>
      </c>
      <c r="K25" s="11" t="s">
        <v>181</v>
      </c>
      <c r="L25" t="str">
        <f t="shared" si="0"/>
        <v>Standard Price</v>
      </c>
      <c r="M25" s="10" t="s">
        <v>223</v>
      </c>
      <c r="N25" t="str">
        <f t="shared" si="1"/>
        <v>21</v>
      </c>
      <c r="O25" s="10" t="s">
        <v>258</v>
      </c>
      <c r="P25" t="str">
        <f t="shared" si="2"/>
        <v>CA</v>
      </c>
      <c r="Q25" s="10" t="s">
        <v>275</v>
      </c>
      <c r="R25" t="str">
        <f t="shared" si="3"/>
        <v>AUG</v>
      </c>
    </row>
    <row r="26" spans="1:18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J26" s="7" t="s">
        <v>149</v>
      </c>
      <c r="K26" s="11" t="s">
        <v>182</v>
      </c>
      <c r="L26" t="str">
        <f t="shared" si="0"/>
        <v>High Price</v>
      </c>
      <c r="M26" s="10" t="s">
        <v>224</v>
      </c>
      <c r="N26" t="str">
        <f t="shared" si="1"/>
        <v>29</v>
      </c>
      <c r="O26" s="10" t="s">
        <v>259</v>
      </c>
      <c r="P26" t="str">
        <f t="shared" si="2"/>
        <v>CA</v>
      </c>
      <c r="Q26" s="10" t="s">
        <v>295</v>
      </c>
      <c r="R26" t="str">
        <f t="shared" si="3"/>
        <v>SEP</v>
      </c>
    </row>
    <row r="27" spans="1:18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J27" s="7" t="s">
        <v>150</v>
      </c>
      <c r="K27" s="11" t="s">
        <v>183</v>
      </c>
      <c r="L27" t="str">
        <f t="shared" si="0"/>
        <v>Standard Price</v>
      </c>
      <c r="M27" s="10" t="s">
        <v>225</v>
      </c>
      <c r="N27" t="str">
        <f t="shared" si="1"/>
        <v>03</v>
      </c>
      <c r="O27" s="10" t="s">
        <v>261</v>
      </c>
      <c r="P27" t="str">
        <f t="shared" si="2"/>
        <v>CA</v>
      </c>
      <c r="Q27" s="10" t="s">
        <v>296</v>
      </c>
      <c r="R27" t="str">
        <f t="shared" si="3"/>
        <v>JUN</v>
      </c>
    </row>
    <row r="28" spans="1:18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J28" s="7" t="s">
        <v>151</v>
      </c>
      <c r="K28" s="11" t="s">
        <v>184</v>
      </c>
      <c r="L28" t="str">
        <f t="shared" si="0"/>
        <v>Standard Price</v>
      </c>
      <c r="M28" s="10" t="s">
        <v>226</v>
      </c>
      <c r="N28" t="str">
        <f t="shared" si="1"/>
        <v>11</v>
      </c>
      <c r="O28" s="10" t="s">
        <v>260</v>
      </c>
      <c r="P28" t="str">
        <f t="shared" si="2"/>
        <v>CA</v>
      </c>
      <c r="Q28" s="10" t="s">
        <v>297</v>
      </c>
      <c r="R28" t="str">
        <f t="shared" si="3"/>
        <v>JUL</v>
      </c>
    </row>
    <row r="29" spans="1:18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J29" s="7" t="s">
        <v>152</v>
      </c>
      <c r="K29" s="11" t="s">
        <v>185</v>
      </c>
      <c r="L29" t="str">
        <f t="shared" si="0"/>
        <v>Standard Price</v>
      </c>
      <c r="M29" s="10" t="s">
        <v>227</v>
      </c>
      <c r="N29" t="str">
        <f t="shared" si="1"/>
        <v>16</v>
      </c>
      <c r="O29" s="10" t="s">
        <v>262</v>
      </c>
      <c r="P29" t="str">
        <f t="shared" si="2"/>
        <v>ES</v>
      </c>
      <c r="Q29" s="10" t="s">
        <v>298</v>
      </c>
      <c r="R29" t="str">
        <f t="shared" si="3"/>
        <v>APR</v>
      </c>
    </row>
    <row r="30" spans="1:18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J30" s="7" t="s">
        <v>153</v>
      </c>
      <c r="K30" s="11" t="s">
        <v>186</v>
      </c>
      <c r="L30" t="str">
        <f t="shared" si="0"/>
        <v>Standard Price</v>
      </c>
      <c r="M30" s="10" t="s">
        <v>228</v>
      </c>
      <c r="N30" t="str">
        <f t="shared" si="1"/>
        <v>07</v>
      </c>
      <c r="O30" s="10" t="s">
        <v>263</v>
      </c>
      <c r="P30" t="str">
        <f t="shared" si="2"/>
        <v>CA</v>
      </c>
      <c r="Q30" s="10" t="s">
        <v>276</v>
      </c>
      <c r="R30" t="str">
        <f t="shared" si="3"/>
        <v>MAR</v>
      </c>
    </row>
    <row r="31" spans="1:18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J31" s="7" t="s">
        <v>154</v>
      </c>
      <c r="K31" s="11" t="s">
        <v>187</v>
      </c>
      <c r="L31" t="str">
        <f t="shared" si="0"/>
        <v>Standard Price</v>
      </c>
      <c r="M31" s="10" t="s">
        <v>229</v>
      </c>
      <c r="N31" t="str">
        <f t="shared" si="1"/>
        <v>13</v>
      </c>
      <c r="O31" s="10" t="s">
        <v>264</v>
      </c>
      <c r="P31" t="str">
        <f t="shared" si="2"/>
        <v>CA</v>
      </c>
      <c r="Q31" s="10" t="s">
        <v>299</v>
      </c>
      <c r="R31" t="str">
        <f t="shared" si="3"/>
        <v>APR</v>
      </c>
    </row>
    <row r="32" spans="1:18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J32" s="7" t="s">
        <v>155</v>
      </c>
      <c r="K32" s="11" t="s">
        <v>188</v>
      </c>
      <c r="L32" t="str">
        <f t="shared" si="0"/>
        <v>Standard Price</v>
      </c>
      <c r="M32" s="10" t="s">
        <v>230</v>
      </c>
      <c r="N32" t="str">
        <f t="shared" si="1"/>
        <v>24</v>
      </c>
      <c r="O32" s="10" t="s">
        <v>265</v>
      </c>
      <c r="P32" t="str">
        <f t="shared" si="2"/>
        <v>CA</v>
      </c>
      <c r="Q32" s="10" t="s">
        <v>300</v>
      </c>
      <c r="R32" t="str">
        <f t="shared" si="3"/>
        <v>MAY</v>
      </c>
    </row>
    <row r="33" spans="1:18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J33" s="7" t="s">
        <v>156</v>
      </c>
      <c r="K33" s="11" t="s">
        <v>189</v>
      </c>
      <c r="L33" t="str">
        <f t="shared" si="0"/>
        <v>Standard Price</v>
      </c>
      <c r="M33" s="10" t="s">
        <v>231</v>
      </c>
      <c r="N33" t="str">
        <f t="shared" si="1"/>
        <v>02</v>
      </c>
      <c r="O33" s="10" t="s">
        <v>266</v>
      </c>
      <c r="P33" t="str">
        <f t="shared" si="2"/>
        <v>CA</v>
      </c>
      <c r="Q33" s="10" t="s">
        <v>301</v>
      </c>
      <c r="R33" t="str">
        <f t="shared" si="3"/>
        <v>DEC</v>
      </c>
    </row>
    <row r="34" spans="1:18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J34" s="7" t="s">
        <v>157</v>
      </c>
      <c r="K34" s="11" t="s">
        <v>190</v>
      </c>
      <c r="L34" t="str">
        <f t="shared" si="0"/>
        <v>High Price</v>
      </c>
      <c r="M34" s="10" t="s">
        <v>232</v>
      </c>
      <c r="N34" t="str">
        <f t="shared" si="1"/>
        <v>17</v>
      </c>
      <c r="O34" s="10" t="s">
        <v>267</v>
      </c>
      <c r="P34" t="str">
        <f t="shared" si="2"/>
        <v>IN</v>
      </c>
      <c r="Q34" s="10" t="s">
        <v>302</v>
      </c>
      <c r="R34" t="str">
        <f t="shared" si="3"/>
        <v>JUN</v>
      </c>
    </row>
    <row r="35" spans="1:18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J35" s="7" t="s">
        <v>158</v>
      </c>
      <c r="K35" s="11" t="s">
        <v>191</v>
      </c>
      <c r="L35" t="str">
        <f t="shared" si="0"/>
        <v>Standard Price</v>
      </c>
      <c r="M35" s="10" t="s">
        <v>233</v>
      </c>
      <c r="N35" t="str">
        <f t="shared" si="1"/>
        <v>09</v>
      </c>
      <c r="O35" s="10" t="s">
        <v>268</v>
      </c>
      <c r="P35" t="str">
        <f t="shared" si="2"/>
        <v>FR</v>
      </c>
      <c r="Q35" s="10" t="s">
        <v>303</v>
      </c>
      <c r="R35" t="str">
        <f t="shared" si="3"/>
        <v>JUL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Sivapriya Sajeev</cp:lastModifiedBy>
  <dcterms:modified xsi:type="dcterms:W3CDTF">2026-10-12T18:29:05Z</dcterms:modified>
</cp:coreProperties>
</file>